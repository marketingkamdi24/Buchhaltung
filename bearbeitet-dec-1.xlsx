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F:\Buchhaltung\Steuerbüro\05_Ebay\"/>
    </mc:Choice>
  </mc:AlternateContent>
  <xr:revisionPtr revIDLastSave="0" documentId="8_{863B35B6-8E9D-4F7A-AC51-8365A1DDB936}" xr6:coauthVersionLast="47" xr6:coauthVersionMax="47" xr10:uidLastSave="{00000000-0000-0000-0000-000000000000}"/>
  <bookViews>
    <workbookView xWindow="3615" yWindow="435" windowWidth="21600" windowHeight="11295" xr2:uid="{00000000-000D-0000-FFFF-FFFF00000000}"/>
  </bookViews>
  <sheets>
    <sheet name="Payout_7181014354_20251215" sheetId="1" r:id="rId1"/>
    <sheet name="Tabelle1" sheetId="2" r:id="rId2"/>
  </sheets>
  <calcPr calcId="191029"/>
</workbook>
</file>

<file path=xl/calcChain.xml><?xml version="1.0" encoding="utf-8"?>
<calcChain xmlns="http://schemas.openxmlformats.org/spreadsheetml/2006/main">
  <c r="P24" i="2" l="1"/>
  <c r="J24" i="2"/>
  <c r="P41" i="1"/>
  <c r="I40" i="1"/>
  <c r="O39" i="1"/>
  <c r="N39" i="1"/>
  <c r="M39" i="1"/>
  <c r="L39" i="1"/>
  <c r="K39" i="1"/>
  <c r="J39" i="1" s="1"/>
  <c r="U38" i="1"/>
  <c r="U37" i="1"/>
  <c r="U36" i="1"/>
  <c r="U35" i="1"/>
  <c r="U34" i="1"/>
  <c r="U33" i="1"/>
  <c r="U32" i="1"/>
  <c r="U31" i="1"/>
  <c r="U30" i="1"/>
  <c r="U29" i="1"/>
  <c r="U28" i="1"/>
  <c r="U27" i="1"/>
  <c r="U26" i="1"/>
  <c r="U25" i="1"/>
  <c r="U24" i="1"/>
  <c r="U23" i="1"/>
  <c r="U22" i="1"/>
  <c r="U21" i="1"/>
  <c r="U20" i="1"/>
  <c r="U19" i="1"/>
  <c r="U18" i="1"/>
  <c r="U17" i="1"/>
  <c r="U16" i="1"/>
  <c r="U15" i="1"/>
  <c r="U14" i="1"/>
  <c r="U13" i="1"/>
  <c r="U12" i="1"/>
  <c r="U11" i="1"/>
  <c r="U10" i="1"/>
  <c r="U9" i="1"/>
  <c r="U8" i="1"/>
  <c r="U7" i="1"/>
  <c r="U6" i="1"/>
  <c r="U5" i="1"/>
  <c r="J41" i="1" l="1"/>
  <c r="I39" i="1"/>
</calcChain>
</file>

<file path=xl/sharedStrings.xml><?xml version="1.0" encoding="utf-8"?>
<sst xmlns="http://schemas.openxmlformats.org/spreadsheetml/2006/main" count="353" uniqueCount="169">
  <si>
    <t>Verkäufer</t>
  </si>
  <si>
    <t>kamdi24_de</t>
  </si>
  <si>
    <t>Transaktionen</t>
  </si>
  <si>
    <t>Betrag</t>
  </si>
  <si>
    <t>730,59 EUR</t>
  </si>
  <si>
    <t>Datum der Transaktionserstellung</t>
  </si>
  <si>
    <t>Typ</t>
  </si>
  <si>
    <t>Bestellnummer</t>
  </si>
  <si>
    <t>Alte Bestellnummer</t>
  </si>
  <si>
    <t>Nutzername des Käufers</t>
  </si>
  <si>
    <t>Name des Käufers</t>
  </si>
  <si>
    <t>KD-NR</t>
  </si>
  <si>
    <t>RG-NR</t>
  </si>
  <si>
    <t>Transaktionsbetrag (inkl. Kosten)</t>
  </si>
  <si>
    <t>Zwischensumme Artikel</t>
  </si>
  <si>
    <t>Fixer Anteil der Verkaufsprovision</t>
  </si>
  <si>
    <t>Variabler Anteil der Verkaufsprovision</t>
  </si>
  <si>
    <t>Gebühr für sehr hohe Quote an „nicht wie beschriebenen Artikeln"</t>
  </si>
  <si>
    <t>Gebühr für unterdurchschnittlichen Servicestatus</t>
  </si>
  <si>
    <t>Internationale Gebühr</t>
  </si>
  <si>
    <t>Betrag abzügl. Kosten</t>
  </si>
  <si>
    <t>Auszahlung Nr.</t>
  </si>
  <si>
    <t>Auszahlungsdatum</t>
  </si>
  <si>
    <t>Rückerstattung</t>
  </si>
  <si>
    <t>13-13754-63743</t>
  </si>
  <si>
    <t>rzloo</t>
  </si>
  <si>
    <t>Martin Schäberle</t>
  </si>
  <si>
    <t>Fall</t>
  </si>
  <si>
    <t>06-13791-67902</t>
  </si>
  <si>
    <t>zozo1311</t>
  </si>
  <si>
    <t>Raumkonzept-Miklos</t>
  </si>
  <si>
    <t>27-13769-13867</t>
  </si>
  <si>
    <t>ktm-90</t>
  </si>
  <si>
    <t>Lars Brandt</t>
  </si>
  <si>
    <t>09-13760-58759</t>
  </si>
  <si>
    <t>christiahermek-0</t>
  </si>
  <si>
    <t>Christian Hermeke</t>
  </si>
  <si>
    <t>Bestellung</t>
  </si>
  <si>
    <t>13-13821-79626</t>
  </si>
  <si>
    <t>manondecks</t>
  </si>
  <si>
    <t>Mike Schmitt</t>
  </si>
  <si>
    <t>12-13823-02691</t>
  </si>
  <si>
    <t>volkstef</t>
  </si>
  <si>
    <t>Stefan Volk</t>
  </si>
  <si>
    <t>15-13818-62354</t>
  </si>
  <si>
    <t>krem1duc</t>
  </si>
  <si>
    <t>Dr. Christian Krempaszky</t>
  </si>
  <si>
    <t>17-13815-72948</t>
  </si>
  <si>
    <t>alfort3748</t>
  </si>
  <si>
    <t>Alois Fortmeyer</t>
  </si>
  <si>
    <t>27-13802-09213</t>
  </si>
  <si>
    <t>roburlo1801</t>
  </si>
  <si>
    <t>Ronny Prohaska</t>
  </si>
  <si>
    <t>09-13826-76276</t>
  </si>
  <si>
    <t>lufeida2005</t>
  </si>
  <si>
    <t>Klaus Schnitker</t>
  </si>
  <si>
    <t>24-13820-50398</t>
  </si>
  <si>
    <t>nilsk2020</t>
  </si>
  <si>
    <t>Nils Knicker</t>
  </si>
  <si>
    <t>21-13809-55039</t>
  </si>
  <si>
    <t>behrenu</t>
  </si>
  <si>
    <t>Uwe Behrens</t>
  </si>
  <si>
    <t>17-13815-19327</t>
  </si>
  <si>
    <t>hanes.nf</t>
  </si>
  <si>
    <t>Hans Siegfried</t>
  </si>
  <si>
    <t>12-13822-27391</t>
  </si>
  <si>
    <t>gila112</t>
  </si>
  <si>
    <t>Gisela Biallas</t>
  </si>
  <si>
    <t>01-13837-52209</t>
  </si>
  <si>
    <t>socky5001</t>
  </si>
  <si>
    <t>Bettina Warbende</t>
  </si>
  <si>
    <t>19-13811-88207</t>
  </si>
  <si>
    <t>2fvqb66</t>
  </si>
  <si>
    <t>Anke Job</t>
  </si>
  <si>
    <t>27-13800-74423</t>
  </si>
  <si>
    <t>moriniheizer</t>
  </si>
  <si>
    <t>Wolfgang Paas</t>
  </si>
  <si>
    <t>09-13825-09795</t>
  </si>
  <si>
    <t>patrick.prinz</t>
  </si>
  <si>
    <t>Familie Kämpf/ Prinz</t>
  </si>
  <si>
    <t>19-13811-32799</t>
  </si>
  <si>
    <t>cheitat</t>
  </si>
  <si>
    <t>Carsten Heitmeier</t>
  </si>
  <si>
    <t>03-13833-37037</t>
  </si>
  <si>
    <t>joni22222</t>
  </si>
  <si>
    <t>Jonathan Günther</t>
  </si>
  <si>
    <t>27-13800-25334</t>
  </si>
  <si>
    <t>gnomrot</t>
  </si>
  <si>
    <t>Jürgen Schürmann</t>
  </si>
  <si>
    <t>01-13836-43512</t>
  </si>
  <si>
    <t>nack-81</t>
  </si>
  <si>
    <t>Sven Elstner</t>
  </si>
  <si>
    <t>27-13799-95951</t>
  </si>
  <si>
    <t>rosengarde2013</t>
  </si>
  <si>
    <t>Roland Häfner</t>
  </si>
  <si>
    <t>16-13815-03524</t>
  </si>
  <si>
    <t>klatschmohn_2</t>
  </si>
  <si>
    <t>Dirk Tübing</t>
  </si>
  <si>
    <t>16-13814-76867</t>
  </si>
  <si>
    <t>cori-2904</t>
  </si>
  <si>
    <t>Corinna Abele-Schleicher</t>
  </si>
  <si>
    <t>15-13815-68438</t>
  </si>
  <si>
    <t>reinder49</t>
  </si>
  <si>
    <t>Reinder Bouwman</t>
  </si>
  <si>
    <t>08-13824-38980</t>
  </si>
  <si>
    <t>hofer1806</t>
  </si>
  <si>
    <t>Sascha Hofer</t>
  </si>
  <si>
    <t>13-13817-68029</t>
  </si>
  <si>
    <t>bargain_x_hunters</t>
  </si>
  <si>
    <t>Nicholas Kowal</t>
  </si>
  <si>
    <t>Gebuehr</t>
  </si>
  <si>
    <t>7400700</t>
  </si>
  <si>
    <t>202511</t>
  </si>
  <si>
    <t>Andere Gebuehr</t>
  </si>
  <si>
    <t>Andere Gebühr</t>
  </si>
  <si>
    <t>11-13829-18210</t>
  </si>
  <si>
    <t>auctionmaster1964</t>
  </si>
  <si>
    <t>Connected Finance UG c/o  Thomas Gerald Foth</t>
  </si>
  <si>
    <t>16-13822-26084</t>
  </si>
  <si>
    <t>castros--way</t>
  </si>
  <si>
    <t>MICHAEL TORRES PEREIRA</t>
  </si>
  <si>
    <t>06-13835-73709</t>
  </si>
  <si>
    <t>remme.jegres</t>
  </si>
  <si>
    <t>Sergej Emmer</t>
  </si>
  <si>
    <t>08-13831-84459</t>
  </si>
  <si>
    <t>bradulla</t>
  </si>
  <si>
    <t>Bärbel Benk</t>
  </si>
  <si>
    <t>16-13820-65837</t>
  </si>
  <si>
    <t>kxzzr92</t>
  </si>
  <si>
    <t>Achim Warthöfer</t>
  </si>
  <si>
    <t>25-13808-10744</t>
  </si>
  <si>
    <t>best-wommen</t>
  </si>
  <si>
    <t>Kerstin Frantz-Baumann</t>
  </si>
  <si>
    <t>03-13838-53831</t>
  </si>
  <si>
    <t>devil-666</t>
  </si>
  <si>
    <t>andreas chwalczyk</t>
  </si>
  <si>
    <t>16-13820-35511</t>
  </si>
  <si>
    <t>rakel1000</t>
  </si>
  <si>
    <t>rakowski</t>
  </si>
  <si>
    <t>06-13833-94650</t>
  </si>
  <si>
    <t>ballatoguglielmo</t>
  </si>
  <si>
    <t>guglielmo ballato</t>
  </si>
  <si>
    <t>11-13826-72751</t>
  </si>
  <si>
    <t>lunaday10</t>
  </si>
  <si>
    <t>Birgit Haß</t>
  </si>
  <si>
    <t>04-13836-51279</t>
  </si>
  <si>
    <t>enricotuchen73</t>
  </si>
  <si>
    <t>enrico tuchen</t>
  </si>
  <si>
    <t>14-13822-39879</t>
  </si>
  <si>
    <t>latest</t>
  </si>
  <si>
    <t>Ingo Kublenz</t>
  </si>
  <si>
    <t>26-13805-61605</t>
  </si>
  <si>
    <t>libertas2016</t>
  </si>
  <si>
    <t>Lothar Wittmann</t>
  </si>
  <si>
    <t>22-13810-92624</t>
  </si>
  <si>
    <t>alex-k-73</t>
  </si>
  <si>
    <t>Alexander Kuß</t>
  </si>
  <si>
    <t>16-13819-28989</t>
  </si>
  <si>
    <t>alealigare</t>
  </si>
  <si>
    <t>Nils Martins</t>
  </si>
  <si>
    <t>24-13822-74832</t>
  </si>
  <si>
    <t>jawar298391</t>
  </si>
  <si>
    <t>jana Warnke</t>
  </si>
  <si>
    <t>10-13827-19841</t>
  </si>
  <si>
    <t>alex-38845</t>
  </si>
  <si>
    <t>Alexander Kuch</t>
  </si>
  <si>
    <t>04-13835-64109</t>
  </si>
  <si>
    <t>weihnachtself83</t>
  </si>
  <si>
    <t>Thomas Huschga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</si>
</sst>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14" fontId="0" fillId="0" borderId="0" xfId="0" applyNumberFormat="1"/>
    <xf numFmtId="0" fontId="0" fillId="2" borderId="0" xfId="0" applyFill="1"/>
    <xf numFmtId="14" fontId="0" fillId="2" borderId="0" xfId="0" applyNumberFormat="1" applyFill="1"/>
    <xf numFmtId="14" fontId="0" fillId="3" borderId="0" xfId="0" applyNumberFormat="1" applyFill="1"/>
    <xf numFmtId="0" fontId="0" fillId="3" borderId="0" xfId="0" applyFill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1"/>
  <sheetViews>
    <sheetView tabSelected="1" workbookViewId="0">
      <selection activeCell="O45" sqref="O45"/>
    </sheetView>
  </sheetViews>
  <sheetFormatPr baseColWidth="10" defaultColWidth="9.140625" defaultRowHeight="15" x14ac:dyDescent="0.25"/>
  <cols>
    <col min="1" max="1" width="10.140625" style="2" bestFit="1" customWidth="1"/>
    <col min="3" max="3" width="19.5703125" customWidth="1"/>
    <col min="4" max="7" width="11.85546875" customWidth="1"/>
    <col min="18" max="18" width="17.28515625" style="2" customWidth="1"/>
  </cols>
  <sheetData>
    <row r="1" spans="1:21" x14ac:dyDescent="0.25">
      <c r="A1" s="2" t="s">
        <v>0</v>
      </c>
      <c r="B1" t="s">
        <v>1</v>
      </c>
    </row>
    <row r="2" spans="1:21" x14ac:dyDescent="0.25">
      <c r="A2" s="2" t="s">
        <v>2</v>
      </c>
      <c r="B2">
        <v>58</v>
      </c>
    </row>
    <row r="3" spans="1:21" x14ac:dyDescent="0.25">
      <c r="A3" s="2" t="s">
        <v>3</v>
      </c>
      <c r="B3" t="s">
        <v>4</v>
      </c>
    </row>
    <row r="4" spans="1:21" x14ac:dyDescent="0.25">
      <c r="A4" s="2" t="s">
        <v>5</v>
      </c>
      <c r="B4" t="s">
        <v>6</v>
      </c>
      <c r="C4" t="s">
        <v>7</v>
      </c>
      <c r="D4" t="s">
        <v>8</v>
      </c>
      <c r="E4" t="s">
        <v>9</v>
      </c>
      <c r="F4" t="s">
        <v>10</v>
      </c>
      <c r="G4" t="s">
        <v>11</v>
      </c>
      <c r="H4" t="s">
        <v>12</v>
      </c>
      <c r="I4" t="s">
        <v>13</v>
      </c>
      <c r="J4" t="s">
        <v>14</v>
      </c>
      <c r="K4" t="s">
        <v>15</v>
      </c>
      <c r="L4" t="s">
        <v>16</v>
      </c>
      <c r="M4" t="s">
        <v>17</v>
      </c>
      <c r="N4" t="s">
        <v>18</v>
      </c>
      <c r="O4" t="s">
        <v>19</v>
      </c>
      <c r="P4" t="s">
        <v>20</v>
      </c>
      <c r="Q4" t="s">
        <v>21</v>
      </c>
      <c r="R4" s="2" t="s">
        <v>22</v>
      </c>
    </row>
    <row r="5" spans="1:21" x14ac:dyDescent="0.25">
      <c r="A5" s="2">
        <v>45974</v>
      </c>
      <c r="B5" t="s">
        <v>23</v>
      </c>
      <c r="C5" t="s">
        <v>24</v>
      </c>
      <c r="D5" t="s">
        <v>24</v>
      </c>
      <c r="E5" t="s">
        <v>25</v>
      </c>
      <c r="F5" t="s">
        <v>26</v>
      </c>
      <c r="G5">
        <v>1771010</v>
      </c>
      <c r="H5">
        <v>166189</v>
      </c>
      <c r="I5">
        <v>-125</v>
      </c>
      <c r="J5">
        <v>-125</v>
      </c>
      <c r="K5">
        <v>0.42</v>
      </c>
      <c r="L5">
        <v>17.850000000000001</v>
      </c>
      <c r="M5">
        <v>0</v>
      </c>
      <c r="N5">
        <v>0</v>
      </c>
      <c r="O5">
        <v>0</v>
      </c>
      <c r="P5">
        <v>-106.73</v>
      </c>
      <c r="Q5">
        <v>7181014354</v>
      </c>
      <c r="R5" s="2">
        <v>45975</v>
      </c>
      <c r="T5">
        <v>-125</v>
      </c>
      <c r="U5">
        <f t="shared" ref="U5:U38" si="0">J5-T5</f>
        <v>0</v>
      </c>
    </row>
    <row r="6" spans="1:21" s="3" customFormat="1" x14ac:dyDescent="0.25">
      <c r="A6" s="4">
        <v>45974</v>
      </c>
      <c r="B6" s="3" t="s">
        <v>27</v>
      </c>
      <c r="C6" s="3" t="s">
        <v>28</v>
      </c>
      <c r="D6" s="3" t="s">
        <v>28</v>
      </c>
      <c r="E6" s="3" t="s">
        <v>29</v>
      </c>
      <c r="F6" s="3" t="s">
        <v>30</v>
      </c>
      <c r="G6" s="3">
        <v>1773862</v>
      </c>
      <c r="H6" s="3">
        <v>166167</v>
      </c>
      <c r="I6" s="3">
        <v>-17.64</v>
      </c>
      <c r="J6" s="3">
        <v>0</v>
      </c>
      <c r="K6" s="3">
        <v>0</v>
      </c>
      <c r="L6" s="3">
        <v>2.31</v>
      </c>
      <c r="M6" s="3">
        <v>0</v>
      </c>
      <c r="N6" s="3">
        <v>0</v>
      </c>
      <c r="O6" s="3">
        <v>0</v>
      </c>
      <c r="P6" s="3">
        <v>-15.33</v>
      </c>
      <c r="Q6" s="3">
        <v>7181014354</v>
      </c>
      <c r="R6" s="4">
        <v>45975</v>
      </c>
      <c r="T6" s="3">
        <v>0</v>
      </c>
      <c r="U6" s="3">
        <f t="shared" si="0"/>
        <v>0</v>
      </c>
    </row>
    <row r="7" spans="1:21" x14ac:dyDescent="0.25">
      <c r="A7" s="2">
        <v>45974</v>
      </c>
      <c r="B7" t="s">
        <v>23</v>
      </c>
      <c r="C7" t="s">
        <v>31</v>
      </c>
      <c r="D7" t="s">
        <v>31</v>
      </c>
      <c r="E7" t="s">
        <v>32</v>
      </c>
      <c r="F7" t="s">
        <v>33</v>
      </c>
      <c r="G7">
        <v>1774481</v>
      </c>
      <c r="H7">
        <v>166165</v>
      </c>
      <c r="I7">
        <v>-19.899999999999999</v>
      </c>
      <c r="J7">
        <v>-19.899999999999999</v>
      </c>
      <c r="K7">
        <v>0.42</v>
      </c>
      <c r="L7">
        <v>2.84</v>
      </c>
      <c r="M7">
        <v>0</v>
      </c>
      <c r="N7">
        <v>0</v>
      </c>
      <c r="O7">
        <v>0</v>
      </c>
      <c r="P7">
        <v>-16.64</v>
      </c>
      <c r="Q7">
        <v>7181014354</v>
      </c>
      <c r="R7" s="2">
        <v>45975</v>
      </c>
      <c r="T7">
        <v>-19.899999999999999</v>
      </c>
      <c r="U7">
        <f t="shared" si="0"/>
        <v>0</v>
      </c>
    </row>
    <row r="8" spans="1:21" x14ac:dyDescent="0.25">
      <c r="A8" s="2">
        <v>45974</v>
      </c>
      <c r="B8" t="s">
        <v>23</v>
      </c>
      <c r="C8" t="s">
        <v>34</v>
      </c>
      <c r="D8" t="s">
        <v>34</v>
      </c>
      <c r="E8" t="s">
        <v>35</v>
      </c>
      <c r="F8" t="s">
        <v>36</v>
      </c>
      <c r="G8">
        <v>1771111</v>
      </c>
      <c r="H8">
        <v>166166</v>
      </c>
      <c r="I8">
        <v>-19.899999999999999</v>
      </c>
      <c r="J8">
        <v>-19.899999999999999</v>
      </c>
      <c r="K8">
        <v>0.42</v>
      </c>
      <c r="L8">
        <v>2.84</v>
      </c>
      <c r="M8">
        <v>0</v>
      </c>
      <c r="N8">
        <v>0</v>
      </c>
      <c r="O8">
        <v>0</v>
      </c>
      <c r="P8">
        <v>-16.64</v>
      </c>
      <c r="Q8">
        <v>7181014354</v>
      </c>
      <c r="R8" s="2">
        <v>45975</v>
      </c>
      <c r="T8">
        <v>-19.899999999999999</v>
      </c>
      <c r="U8">
        <f t="shared" si="0"/>
        <v>0</v>
      </c>
    </row>
    <row r="9" spans="1:21" x14ac:dyDescent="0.25">
      <c r="A9" s="2">
        <v>45973</v>
      </c>
      <c r="B9" t="s">
        <v>37</v>
      </c>
      <c r="C9" t="s">
        <v>38</v>
      </c>
      <c r="D9" t="s">
        <v>38</v>
      </c>
      <c r="E9" t="s">
        <v>39</v>
      </c>
      <c r="F9" t="s">
        <v>40</v>
      </c>
      <c r="G9">
        <v>1338366</v>
      </c>
      <c r="H9">
        <v>1452491</v>
      </c>
      <c r="I9">
        <v>34.39</v>
      </c>
      <c r="J9">
        <v>34.39</v>
      </c>
      <c r="K9">
        <v>-0.42</v>
      </c>
      <c r="L9">
        <v>-4.91</v>
      </c>
      <c r="M9">
        <v>0</v>
      </c>
      <c r="N9">
        <v>0</v>
      </c>
      <c r="O9">
        <v>0</v>
      </c>
      <c r="P9">
        <v>29.06</v>
      </c>
      <c r="Q9">
        <v>7181014354</v>
      </c>
      <c r="R9" s="2">
        <v>45975</v>
      </c>
      <c r="T9">
        <v>34.39</v>
      </c>
      <c r="U9">
        <f t="shared" si="0"/>
        <v>0</v>
      </c>
    </row>
    <row r="10" spans="1:21" s="6" customFormat="1" x14ac:dyDescent="0.25">
      <c r="A10" s="5">
        <v>45973</v>
      </c>
      <c r="B10" s="6" t="s">
        <v>37</v>
      </c>
      <c r="C10" s="6" t="s">
        <v>41</v>
      </c>
      <c r="D10" s="6" t="s">
        <v>41</v>
      </c>
      <c r="E10" s="6" t="s">
        <v>42</v>
      </c>
      <c r="F10" s="6" t="s">
        <v>43</v>
      </c>
      <c r="G10" s="6">
        <v>1778423</v>
      </c>
      <c r="H10" s="6">
        <v>1453153</v>
      </c>
      <c r="I10" s="6">
        <v>60.8</v>
      </c>
      <c r="J10" s="6">
        <v>60.8</v>
      </c>
      <c r="K10" s="6">
        <v>-0.42</v>
      </c>
      <c r="L10" s="6">
        <v>-8.68</v>
      </c>
      <c r="M10" s="6">
        <v>0</v>
      </c>
      <c r="N10" s="6">
        <v>0</v>
      </c>
      <c r="O10" s="6">
        <v>0</v>
      </c>
      <c r="P10" s="6">
        <v>51.7</v>
      </c>
      <c r="Q10" s="6">
        <v>7181014354</v>
      </c>
      <c r="R10" s="5">
        <v>45975</v>
      </c>
      <c r="T10" s="6">
        <v>60.8</v>
      </c>
      <c r="U10" s="6">
        <f t="shared" si="0"/>
        <v>0</v>
      </c>
    </row>
    <row r="11" spans="1:21" x14ac:dyDescent="0.25">
      <c r="A11" s="2">
        <v>45973</v>
      </c>
      <c r="B11" t="s">
        <v>37</v>
      </c>
      <c r="C11" t="s">
        <v>44</v>
      </c>
      <c r="D11" t="s">
        <v>44</v>
      </c>
      <c r="E11" t="s">
        <v>45</v>
      </c>
      <c r="F11" t="s">
        <v>46</v>
      </c>
      <c r="G11">
        <v>1778363</v>
      </c>
      <c r="H11">
        <v>1452488</v>
      </c>
      <c r="I11">
        <v>19.899999999999999</v>
      </c>
      <c r="J11">
        <v>19.899999999999999</v>
      </c>
      <c r="K11">
        <v>-0.42</v>
      </c>
      <c r="L11">
        <v>-2.84</v>
      </c>
      <c r="M11">
        <v>0</v>
      </c>
      <c r="N11">
        <v>0</v>
      </c>
      <c r="O11">
        <v>0</v>
      </c>
      <c r="P11">
        <v>16.64</v>
      </c>
      <c r="Q11">
        <v>7181014354</v>
      </c>
      <c r="R11" s="2">
        <v>45975</v>
      </c>
      <c r="T11">
        <v>19.899999999999999</v>
      </c>
      <c r="U11">
        <f t="shared" si="0"/>
        <v>0</v>
      </c>
    </row>
    <row r="12" spans="1:21" x14ac:dyDescent="0.25">
      <c r="A12" s="2">
        <v>45973</v>
      </c>
      <c r="B12" t="s">
        <v>37</v>
      </c>
      <c r="C12" t="s">
        <v>47</v>
      </c>
      <c r="D12" t="s">
        <v>47</v>
      </c>
      <c r="E12" t="s">
        <v>48</v>
      </c>
      <c r="F12" t="s">
        <v>49</v>
      </c>
      <c r="G12">
        <v>1778356</v>
      </c>
      <c r="H12">
        <v>1452681</v>
      </c>
      <c r="I12">
        <v>36.799999999999997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31.13</v>
      </c>
      <c r="Q12">
        <v>7181014354</v>
      </c>
      <c r="R12" s="2">
        <v>45975</v>
      </c>
      <c r="T12">
        <v>0</v>
      </c>
      <c r="U12">
        <f t="shared" si="0"/>
        <v>0</v>
      </c>
    </row>
    <row r="13" spans="1:21" x14ac:dyDescent="0.25">
      <c r="A13" s="2">
        <v>45973</v>
      </c>
      <c r="B13" t="s">
        <v>37</v>
      </c>
      <c r="C13" t="s">
        <v>47</v>
      </c>
      <c r="D13" t="s">
        <v>47</v>
      </c>
      <c r="E13" t="s">
        <v>48</v>
      </c>
      <c r="F13" t="s">
        <v>49</v>
      </c>
      <c r="G13">
        <v>1778356</v>
      </c>
      <c r="H13">
        <v>1452681</v>
      </c>
      <c r="I13">
        <v>0</v>
      </c>
      <c r="J13">
        <v>23.9</v>
      </c>
      <c r="K13">
        <v>0</v>
      </c>
      <c r="L13">
        <v>-3.41</v>
      </c>
      <c r="M13">
        <v>0</v>
      </c>
      <c r="N13">
        <v>0</v>
      </c>
      <c r="O13">
        <v>0</v>
      </c>
      <c r="P13">
        <v>0</v>
      </c>
      <c r="Q13">
        <v>7181014354</v>
      </c>
      <c r="R13" s="2">
        <v>45975</v>
      </c>
      <c r="T13">
        <v>23.9</v>
      </c>
      <c r="U13">
        <f t="shared" si="0"/>
        <v>0</v>
      </c>
    </row>
    <row r="14" spans="1:21" x14ac:dyDescent="0.25">
      <c r="A14" s="2">
        <v>45973</v>
      </c>
      <c r="B14" t="s">
        <v>37</v>
      </c>
      <c r="C14" t="s">
        <v>47</v>
      </c>
      <c r="D14" t="s">
        <v>47</v>
      </c>
      <c r="E14" t="s">
        <v>48</v>
      </c>
      <c r="F14" t="s">
        <v>49</v>
      </c>
      <c r="G14">
        <v>1778356</v>
      </c>
      <c r="H14">
        <v>1452681</v>
      </c>
      <c r="I14">
        <v>0</v>
      </c>
      <c r="J14">
        <v>12.9</v>
      </c>
      <c r="K14">
        <v>-0.42</v>
      </c>
      <c r="L14">
        <v>-1.84</v>
      </c>
      <c r="M14">
        <v>0</v>
      </c>
      <c r="N14">
        <v>0</v>
      </c>
      <c r="O14">
        <v>0</v>
      </c>
      <c r="P14">
        <v>0</v>
      </c>
      <c r="Q14">
        <v>7181014354</v>
      </c>
      <c r="R14" s="2">
        <v>45975</v>
      </c>
      <c r="T14">
        <v>12.9</v>
      </c>
      <c r="U14">
        <f t="shared" si="0"/>
        <v>0</v>
      </c>
    </row>
    <row r="15" spans="1:21" x14ac:dyDescent="0.25">
      <c r="A15" s="2">
        <v>45973</v>
      </c>
      <c r="B15" t="s">
        <v>37</v>
      </c>
      <c r="C15" t="s">
        <v>50</v>
      </c>
      <c r="D15" t="s">
        <v>50</v>
      </c>
      <c r="E15" t="s">
        <v>51</v>
      </c>
      <c r="F15" t="s">
        <v>52</v>
      </c>
      <c r="G15">
        <v>1459158</v>
      </c>
      <c r="H15">
        <v>1452617</v>
      </c>
      <c r="I15">
        <v>85.9</v>
      </c>
      <c r="J15">
        <v>85.9</v>
      </c>
      <c r="K15">
        <v>-0.42</v>
      </c>
      <c r="L15">
        <v>-12.27</v>
      </c>
      <c r="M15">
        <v>0</v>
      </c>
      <c r="N15">
        <v>0</v>
      </c>
      <c r="O15">
        <v>0</v>
      </c>
      <c r="P15">
        <v>73.209999999999994</v>
      </c>
      <c r="Q15">
        <v>7181014354</v>
      </c>
      <c r="R15" s="2">
        <v>45975</v>
      </c>
      <c r="T15">
        <v>85.9</v>
      </c>
      <c r="U15">
        <f t="shared" si="0"/>
        <v>0</v>
      </c>
    </row>
    <row r="16" spans="1:21" x14ac:dyDescent="0.25">
      <c r="A16" s="2">
        <v>45973</v>
      </c>
      <c r="B16" t="s">
        <v>37</v>
      </c>
      <c r="C16" t="s">
        <v>53</v>
      </c>
      <c r="D16" t="s">
        <v>53</v>
      </c>
      <c r="E16" t="s">
        <v>54</v>
      </c>
      <c r="F16" t="s">
        <v>55</v>
      </c>
      <c r="G16">
        <v>1778350</v>
      </c>
      <c r="H16">
        <v>1452493</v>
      </c>
      <c r="I16">
        <v>27.89</v>
      </c>
      <c r="J16">
        <v>27.89</v>
      </c>
      <c r="K16">
        <v>-0.42</v>
      </c>
      <c r="L16">
        <v>-3.99</v>
      </c>
      <c r="M16">
        <v>0</v>
      </c>
      <c r="N16">
        <v>0</v>
      </c>
      <c r="O16">
        <v>0</v>
      </c>
      <c r="P16">
        <v>23.48</v>
      </c>
      <c r="Q16">
        <v>7181014354</v>
      </c>
      <c r="R16" s="2">
        <v>45975</v>
      </c>
      <c r="T16">
        <v>27.89</v>
      </c>
      <c r="U16">
        <f t="shared" si="0"/>
        <v>0</v>
      </c>
    </row>
    <row r="17" spans="1:21" x14ac:dyDescent="0.25">
      <c r="A17" s="2">
        <v>45973</v>
      </c>
      <c r="B17" t="s">
        <v>37</v>
      </c>
      <c r="C17" t="s">
        <v>56</v>
      </c>
      <c r="D17" t="s">
        <v>56</v>
      </c>
      <c r="E17" t="s">
        <v>57</v>
      </c>
      <c r="F17" t="s">
        <v>58</v>
      </c>
      <c r="G17">
        <v>1778324</v>
      </c>
      <c r="H17">
        <v>1452600</v>
      </c>
      <c r="I17">
        <v>26.84</v>
      </c>
      <c r="J17">
        <v>26.84</v>
      </c>
      <c r="K17">
        <v>-0.42</v>
      </c>
      <c r="L17">
        <v>-3.83</v>
      </c>
      <c r="M17">
        <v>0</v>
      </c>
      <c r="N17">
        <v>0</v>
      </c>
      <c r="O17">
        <v>0</v>
      </c>
      <c r="P17">
        <v>22.59</v>
      </c>
      <c r="Q17">
        <v>7181014354</v>
      </c>
      <c r="R17" s="2">
        <v>45975</v>
      </c>
      <c r="T17">
        <v>26.84</v>
      </c>
      <c r="U17">
        <f t="shared" si="0"/>
        <v>0</v>
      </c>
    </row>
    <row r="18" spans="1:21" x14ac:dyDescent="0.25">
      <c r="A18" s="2">
        <v>45973</v>
      </c>
      <c r="B18" t="s">
        <v>37</v>
      </c>
      <c r="C18" t="s">
        <v>59</v>
      </c>
      <c r="D18" t="s">
        <v>59</v>
      </c>
      <c r="E18" t="s">
        <v>60</v>
      </c>
      <c r="F18" t="s">
        <v>61</v>
      </c>
      <c r="G18">
        <v>1646650</v>
      </c>
      <c r="H18">
        <v>1452490</v>
      </c>
      <c r="I18">
        <v>19.899999999999999</v>
      </c>
      <c r="J18">
        <v>19.899999999999999</v>
      </c>
      <c r="K18">
        <v>-0.42</v>
      </c>
      <c r="L18">
        <v>-2.84</v>
      </c>
      <c r="M18">
        <v>0</v>
      </c>
      <c r="N18">
        <v>0</v>
      </c>
      <c r="O18">
        <v>0</v>
      </c>
      <c r="P18">
        <v>16.64</v>
      </c>
      <c r="Q18">
        <v>7181014354</v>
      </c>
      <c r="R18" s="2">
        <v>45975</v>
      </c>
      <c r="T18">
        <v>19.899999999999999</v>
      </c>
      <c r="U18">
        <f t="shared" si="0"/>
        <v>0</v>
      </c>
    </row>
    <row r="19" spans="1:21" x14ac:dyDescent="0.25">
      <c r="A19" s="2">
        <v>45973</v>
      </c>
      <c r="B19" t="s">
        <v>37</v>
      </c>
      <c r="C19" t="s">
        <v>62</v>
      </c>
      <c r="D19" t="s">
        <v>62</v>
      </c>
      <c r="E19" t="s">
        <v>63</v>
      </c>
      <c r="F19" t="s">
        <v>64</v>
      </c>
      <c r="G19">
        <v>1778257</v>
      </c>
      <c r="H19">
        <v>1452631</v>
      </c>
      <c r="I19">
        <v>26.95</v>
      </c>
      <c r="J19">
        <v>26.95</v>
      </c>
      <c r="K19">
        <v>-0.42</v>
      </c>
      <c r="L19">
        <v>-3.84</v>
      </c>
      <c r="M19">
        <v>0</v>
      </c>
      <c r="N19">
        <v>0</v>
      </c>
      <c r="O19">
        <v>0</v>
      </c>
      <c r="P19">
        <v>22.69</v>
      </c>
      <c r="Q19">
        <v>7181014354</v>
      </c>
      <c r="R19" s="2">
        <v>45975</v>
      </c>
      <c r="T19">
        <v>26.95</v>
      </c>
      <c r="U19">
        <f t="shared" si="0"/>
        <v>0</v>
      </c>
    </row>
    <row r="20" spans="1:21" x14ac:dyDescent="0.25">
      <c r="A20" s="2">
        <v>45973</v>
      </c>
      <c r="B20" t="s">
        <v>37</v>
      </c>
      <c r="C20" t="s">
        <v>65</v>
      </c>
      <c r="D20" t="s">
        <v>65</v>
      </c>
      <c r="E20" t="s">
        <v>66</v>
      </c>
      <c r="F20" t="s">
        <v>67</v>
      </c>
      <c r="G20">
        <v>1306158</v>
      </c>
      <c r="H20">
        <v>1452679</v>
      </c>
      <c r="I20">
        <v>99.8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85.12</v>
      </c>
      <c r="Q20">
        <v>7181014354</v>
      </c>
      <c r="R20" s="2">
        <v>45975</v>
      </c>
      <c r="T20">
        <v>0</v>
      </c>
      <c r="U20">
        <f t="shared" si="0"/>
        <v>0</v>
      </c>
    </row>
    <row r="21" spans="1:21" x14ac:dyDescent="0.25">
      <c r="A21" s="2">
        <v>45973</v>
      </c>
      <c r="B21" t="s">
        <v>37</v>
      </c>
      <c r="C21" t="s">
        <v>65</v>
      </c>
      <c r="D21" t="s">
        <v>65</v>
      </c>
      <c r="E21" t="s">
        <v>66</v>
      </c>
      <c r="F21" t="s">
        <v>67</v>
      </c>
      <c r="G21">
        <v>1306158</v>
      </c>
      <c r="H21">
        <v>1452679</v>
      </c>
      <c r="I21">
        <v>0</v>
      </c>
      <c r="J21">
        <v>39.9</v>
      </c>
      <c r="K21">
        <v>-0.42</v>
      </c>
      <c r="L21">
        <v>-5.7</v>
      </c>
      <c r="M21">
        <v>0</v>
      </c>
      <c r="N21">
        <v>0</v>
      </c>
      <c r="O21">
        <v>0</v>
      </c>
      <c r="P21">
        <v>0</v>
      </c>
      <c r="Q21">
        <v>7181014354</v>
      </c>
      <c r="R21" s="2">
        <v>45975</v>
      </c>
      <c r="T21">
        <v>39.9</v>
      </c>
      <c r="U21">
        <f t="shared" si="0"/>
        <v>0</v>
      </c>
    </row>
    <row r="22" spans="1:21" x14ac:dyDescent="0.25">
      <c r="A22" s="2">
        <v>45973</v>
      </c>
      <c r="B22" t="s">
        <v>37</v>
      </c>
      <c r="C22" t="s">
        <v>65</v>
      </c>
      <c r="D22" t="s">
        <v>65</v>
      </c>
      <c r="E22" t="s">
        <v>66</v>
      </c>
      <c r="F22" t="s">
        <v>67</v>
      </c>
      <c r="G22">
        <v>1306158</v>
      </c>
      <c r="H22">
        <v>1452679</v>
      </c>
      <c r="I22">
        <v>0</v>
      </c>
      <c r="J22">
        <v>59.9</v>
      </c>
      <c r="K22">
        <v>0</v>
      </c>
      <c r="L22">
        <v>-8.56</v>
      </c>
      <c r="M22">
        <v>0</v>
      </c>
      <c r="N22">
        <v>0</v>
      </c>
      <c r="O22">
        <v>0</v>
      </c>
      <c r="P22">
        <v>0</v>
      </c>
      <c r="Q22">
        <v>7181014354</v>
      </c>
      <c r="R22" s="2">
        <v>45975</v>
      </c>
      <c r="T22">
        <v>59.9</v>
      </c>
      <c r="U22">
        <f t="shared" si="0"/>
        <v>0</v>
      </c>
    </row>
    <row r="23" spans="1:21" x14ac:dyDescent="0.25">
      <c r="A23" s="2">
        <v>45973</v>
      </c>
      <c r="B23" t="s">
        <v>37</v>
      </c>
      <c r="C23" t="s">
        <v>68</v>
      </c>
      <c r="D23" t="s">
        <v>68</v>
      </c>
      <c r="E23" t="s">
        <v>69</v>
      </c>
      <c r="F23" t="s">
        <v>70</v>
      </c>
      <c r="G23">
        <v>1773065</v>
      </c>
      <c r="H23">
        <v>1452560</v>
      </c>
      <c r="I23">
        <v>31.8</v>
      </c>
      <c r="J23">
        <v>31.8</v>
      </c>
      <c r="K23">
        <v>-0.42</v>
      </c>
      <c r="L23">
        <v>-4.16</v>
      </c>
      <c r="M23">
        <v>0</v>
      </c>
      <c r="N23">
        <v>0</v>
      </c>
      <c r="O23">
        <v>0</v>
      </c>
      <c r="P23">
        <v>27.22</v>
      </c>
      <c r="Q23">
        <v>7181014354</v>
      </c>
      <c r="R23" s="2">
        <v>45975</v>
      </c>
      <c r="T23">
        <v>31.8</v>
      </c>
      <c r="U23">
        <f t="shared" si="0"/>
        <v>0</v>
      </c>
    </row>
    <row r="24" spans="1:21" x14ac:dyDescent="0.25">
      <c r="A24" s="2">
        <v>45973</v>
      </c>
      <c r="B24" t="s">
        <v>37</v>
      </c>
      <c r="C24" t="s">
        <v>71</v>
      </c>
      <c r="D24" t="s">
        <v>71</v>
      </c>
      <c r="E24" t="s">
        <v>72</v>
      </c>
      <c r="F24" t="s">
        <v>73</v>
      </c>
      <c r="G24">
        <v>1778156</v>
      </c>
      <c r="H24">
        <v>1453033</v>
      </c>
      <c r="I24">
        <v>64.900000000000006</v>
      </c>
      <c r="J24">
        <v>64.900000000000006</v>
      </c>
      <c r="K24">
        <v>-0.42</v>
      </c>
      <c r="L24">
        <v>-9.27</v>
      </c>
      <c r="M24">
        <v>0</v>
      </c>
      <c r="N24">
        <v>0</v>
      </c>
      <c r="O24">
        <v>0</v>
      </c>
      <c r="P24">
        <v>55.21</v>
      </c>
      <c r="Q24">
        <v>7181014354</v>
      </c>
      <c r="R24" s="2">
        <v>45975</v>
      </c>
      <c r="T24">
        <v>64.900000000000006</v>
      </c>
      <c r="U24">
        <f t="shared" si="0"/>
        <v>0</v>
      </c>
    </row>
    <row r="25" spans="1:21" x14ac:dyDescent="0.25">
      <c r="A25" s="2">
        <v>45973</v>
      </c>
      <c r="B25" t="s">
        <v>37</v>
      </c>
      <c r="C25" t="s">
        <v>74</v>
      </c>
      <c r="D25" t="s">
        <v>74</v>
      </c>
      <c r="E25" t="s">
        <v>75</v>
      </c>
      <c r="F25" t="s">
        <v>76</v>
      </c>
      <c r="G25">
        <v>1778205</v>
      </c>
      <c r="H25">
        <v>1452528</v>
      </c>
      <c r="I25">
        <v>16.899999999999999</v>
      </c>
      <c r="J25">
        <v>16.899999999999999</v>
      </c>
      <c r="K25">
        <v>-0.42</v>
      </c>
      <c r="L25">
        <v>-2.42</v>
      </c>
      <c r="M25">
        <v>0</v>
      </c>
      <c r="N25">
        <v>0</v>
      </c>
      <c r="O25">
        <v>0</v>
      </c>
      <c r="P25">
        <v>14.06</v>
      </c>
      <c r="Q25">
        <v>7181014354</v>
      </c>
      <c r="R25" s="2">
        <v>45975</v>
      </c>
      <c r="T25">
        <v>16.899999999999999</v>
      </c>
      <c r="U25">
        <f t="shared" si="0"/>
        <v>0</v>
      </c>
    </row>
    <row r="26" spans="1:21" x14ac:dyDescent="0.25">
      <c r="A26" s="2">
        <v>45973</v>
      </c>
      <c r="B26" t="s">
        <v>37</v>
      </c>
      <c r="C26" t="s">
        <v>77</v>
      </c>
      <c r="D26" t="s">
        <v>77</v>
      </c>
      <c r="E26" t="s">
        <v>78</v>
      </c>
      <c r="F26" t="s">
        <v>79</v>
      </c>
      <c r="G26">
        <v>1778090</v>
      </c>
      <c r="H26">
        <v>1452713</v>
      </c>
      <c r="I26">
        <v>17.899999999999999</v>
      </c>
      <c r="J26">
        <v>17.899999999999999</v>
      </c>
      <c r="K26">
        <v>-0.42</v>
      </c>
      <c r="L26">
        <v>-2.56</v>
      </c>
      <c r="M26">
        <v>0</v>
      </c>
      <c r="N26">
        <v>0</v>
      </c>
      <c r="O26">
        <v>0</v>
      </c>
      <c r="P26">
        <v>14.92</v>
      </c>
      <c r="Q26">
        <v>7181014354</v>
      </c>
      <c r="R26" s="2">
        <v>45975</v>
      </c>
      <c r="T26">
        <v>17.899999999999999</v>
      </c>
      <c r="U26">
        <f t="shared" si="0"/>
        <v>0</v>
      </c>
    </row>
    <row r="27" spans="1:21" x14ac:dyDescent="0.25">
      <c r="A27" s="2">
        <v>45973</v>
      </c>
      <c r="B27" t="s">
        <v>37</v>
      </c>
      <c r="C27" t="s">
        <v>80</v>
      </c>
      <c r="D27" t="s">
        <v>80</v>
      </c>
      <c r="E27" t="s">
        <v>81</v>
      </c>
      <c r="F27" t="s">
        <v>82</v>
      </c>
      <c r="G27">
        <v>1778121</v>
      </c>
      <c r="H27">
        <v>1452715</v>
      </c>
      <c r="I27">
        <v>17.899999999999999</v>
      </c>
      <c r="J27">
        <v>17.899999999999999</v>
      </c>
      <c r="K27">
        <v>-0.42</v>
      </c>
      <c r="L27">
        <v>-2.56</v>
      </c>
      <c r="M27">
        <v>0</v>
      </c>
      <c r="N27">
        <v>0</v>
      </c>
      <c r="O27">
        <v>0</v>
      </c>
      <c r="P27">
        <v>14.92</v>
      </c>
      <c r="Q27">
        <v>7181014354</v>
      </c>
      <c r="R27" s="2">
        <v>45975</v>
      </c>
      <c r="T27">
        <v>17.899999999999999</v>
      </c>
      <c r="U27">
        <f t="shared" si="0"/>
        <v>0</v>
      </c>
    </row>
    <row r="28" spans="1:21" x14ac:dyDescent="0.25">
      <c r="A28" s="2">
        <v>45973</v>
      </c>
      <c r="B28" t="s">
        <v>37</v>
      </c>
      <c r="C28" t="s">
        <v>83</v>
      </c>
      <c r="D28" t="s">
        <v>83</v>
      </c>
      <c r="E28" t="s">
        <v>84</v>
      </c>
      <c r="F28" t="s">
        <v>85</v>
      </c>
      <c r="G28">
        <v>1133847</v>
      </c>
      <c r="H28">
        <v>1452896</v>
      </c>
      <c r="I28">
        <v>25.9</v>
      </c>
      <c r="J28">
        <v>25.9</v>
      </c>
      <c r="K28">
        <v>-0.42</v>
      </c>
      <c r="L28">
        <v>-3.7</v>
      </c>
      <c r="M28">
        <v>0</v>
      </c>
      <c r="N28">
        <v>0</v>
      </c>
      <c r="O28">
        <v>0</v>
      </c>
      <c r="P28">
        <v>21.78</v>
      </c>
      <c r="Q28">
        <v>7181014354</v>
      </c>
      <c r="R28" s="2">
        <v>45975</v>
      </c>
      <c r="T28">
        <v>25.9</v>
      </c>
      <c r="U28">
        <f t="shared" si="0"/>
        <v>0</v>
      </c>
    </row>
    <row r="29" spans="1:21" x14ac:dyDescent="0.25">
      <c r="A29" s="2">
        <v>45973</v>
      </c>
      <c r="B29" t="s">
        <v>37</v>
      </c>
      <c r="C29" t="s">
        <v>86</v>
      </c>
      <c r="D29" t="s">
        <v>86</v>
      </c>
      <c r="E29" t="s">
        <v>87</v>
      </c>
      <c r="F29" t="s">
        <v>88</v>
      </c>
      <c r="G29">
        <v>1778078</v>
      </c>
      <c r="H29">
        <v>1452526</v>
      </c>
      <c r="I29">
        <v>50.29</v>
      </c>
      <c r="J29">
        <v>50.29</v>
      </c>
      <c r="K29">
        <v>-0.42</v>
      </c>
      <c r="L29">
        <v>-7.18</v>
      </c>
      <c r="M29">
        <v>0</v>
      </c>
      <c r="N29">
        <v>0</v>
      </c>
      <c r="O29">
        <v>0</v>
      </c>
      <c r="P29">
        <v>42.69</v>
      </c>
      <c r="Q29">
        <v>7181014354</v>
      </c>
      <c r="R29" s="2">
        <v>45975</v>
      </c>
      <c r="T29">
        <v>50.29</v>
      </c>
      <c r="U29">
        <f t="shared" si="0"/>
        <v>0</v>
      </c>
    </row>
    <row r="30" spans="1:21" x14ac:dyDescent="0.25">
      <c r="A30" s="2">
        <v>45973</v>
      </c>
      <c r="B30" t="s">
        <v>37</v>
      </c>
      <c r="C30" t="s">
        <v>89</v>
      </c>
      <c r="D30" t="s">
        <v>89</v>
      </c>
      <c r="E30" t="s">
        <v>90</v>
      </c>
      <c r="F30" t="s">
        <v>91</v>
      </c>
      <c r="G30">
        <v>1778056</v>
      </c>
      <c r="H30">
        <v>1452179</v>
      </c>
      <c r="I30">
        <v>105</v>
      </c>
      <c r="J30">
        <v>105</v>
      </c>
      <c r="K30">
        <v>-0.42</v>
      </c>
      <c r="L30">
        <v>-14.99</v>
      </c>
      <c r="M30">
        <v>0</v>
      </c>
      <c r="N30">
        <v>0</v>
      </c>
      <c r="O30">
        <v>0</v>
      </c>
      <c r="P30">
        <v>89.59</v>
      </c>
      <c r="Q30">
        <v>7181014354</v>
      </c>
      <c r="R30" s="2">
        <v>45975</v>
      </c>
      <c r="T30">
        <v>105</v>
      </c>
      <c r="U30">
        <f t="shared" si="0"/>
        <v>0</v>
      </c>
    </row>
    <row r="31" spans="1:21" x14ac:dyDescent="0.25">
      <c r="A31" s="2">
        <v>45973</v>
      </c>
      <c r="B31" t="s">
        <v>37</v>
      </c>
      <c r="C31" t="s">
        <v>92</v>
      </c>
      <c r="D31" t="s">
        <v>92</v>
      </c>
      <c r="E31" t="s">
        <v>93</v>
      </c>
      <c r="F31" t="s">
        <v>94</v>
      </c>
      <c r="G31">
        <v>1778038</v>
      </c>
      <c r="H31">
        <v>1451981</v>
      </c>
      <c r="I31">
        <v>49.9</v>
      </c>
      <c r="J31">
        <v>49.9</v>
      </c>
      <c r="K31">
        <v>-0.42</v>
      </c>
      <c r="L31">
        <v>-7.13</v>
      </c>
      <c r="M31">
        <v>0</v>
      </c>
      <c r="N31">
        <v>0</v>
      </c>
      <c r="O31">
        <v>0</v>
      </c>
      <c r="P31">
        <v>42.35</v>
      </c>
      <c r="Q31">
        <v>7181014354</v>
      </c>
      <c r="R31" s="2">
        <v>45975</v>
      </c>
      <c r="T31">
        <v>49.9</v>
      </c>
      <c r="U31">
        <f t="shared" si="0"/>
        <v>0</v>
      </c>
    </row>
    <row r="32" spans="1:21" x14ac:dyDescent="0.25">
      <c r="A32" s="2">
        <v>45973</v>
      </c>
      <c r="B32" t="s">
        <v>37</v>
      </c>
      <c r="C32" t="s">
        <v>95</v>
      </c>
      <c r="D32" t="s">
        <v>95</v>
      </c>
      <c r="E32" t="s">
        <v>96</v>
      </c>
      <c r="F32" t="s">
        <v>97</v>
      </c>
      <c r="G32">
        <v>1778039</v>
      </c>
      <c r="H32">
        <v>1453150</v>
      </c>
      <c r="I32">
        <v>49.9</v>
      </c>
      <c r="J32">
        <v>49.9</v>
      </c>
      <c r="K32">
        <v>-0.42</v>
      </c>
      <c r="L32">
        <v>-7.13</v>
      </c>
      <c r="M32">
        <v>0</v>
      </c>
      <c r="N32">
        <v>0</v>
      </c>
      <c r="O32">
        <v>0</v>
      </c>
      <c r="P32">
        <v>42.35</v>
      </c>
      <c r="Q32">
        <v>7181014354</v>
      </c>
      <c r="R32" s="2">
        <v>45975</v>
      </c>
      <c r="T32">
        <v>49.9</v>
      </c>
      <c r="U32">
        <f t="shared" si="0"/>
        <v>0</v>
      </c>
    </row>
    <row r="33" spans="1:21" x14ac:dyDescent="0.25">
      <c r="A33" s="2">
        <v>45973</v>
      </c>
      <c r="B33" t="s">
        <v>37</v>
      </c>
      <c r="C33" t="s">
        <v>98</v>
      </c>
      <c r="D33" t="s">
        <v>98</v>
      </c>
      <c r="E33" t="s">
        <v>99</v>
      </c>
      <c r="F33" t="s">
        <v>100</v>
      </c>
      <c r="G33">
        <v>1777965</v>
      </c>
      <c r="H33">
        <v>1451967</v>
      </c>
      <c r="I33">
        <v>89.8</v>
      </c>
      <c r="J33">
        <v>89.8</v>
      </c>
      <c r="K33">
        <v>-0.42</v>
      </c>
      <c r="L33">
        <v>-12.83</v>
      </c>
      <c r="M33">
        <v>0</v>
      </c>
      <c r="N33">
        <v>0</v>
      </c>
      <c r="O33">
        <v>0</v>
      </c>
      <c r="P33">
        <v>76.55</v>
      </c>
      <c r="Q33">
        <v>7181014354</v>
      </c>
      <c r="R33" s="2">
        <v>45975</v>
      </c>
      <c r="T33">
        <v>89.8</v>
      </c>
      <c r="U33">
        <f t="shared" si="0"/>
        <v>0</v>
      </c>
    </row>
    <row r="34" spans="1:21" x14ac:dyDescent="0.25">
      <c r="A34" s="2">
        <v>45973</v>
      </c>
      <c r="B34" t="s">
        <v>37</v>
      </c>
      <c r="C34" t="s">
        <v>101</v>
      </c>
      <c r="D34" t="s">
        <v>101</v>
      </c>
      <c r="E34" t="s">
        <v>102</v>
      </c>
      <c r="F34" t="s">
        <v>103</v>
      </c>
      <c r="G34">
        <v>1777892</v>
      </c>
      <c r="H34">
        <v>1451974</v>
      </c>
      <c r="I34">
        <v>23.9</v>
      </c>
      <c r="J34">
        <v>23.9</v>
      </c>
      <c r="K34">
        <v>-0.42</v>
      </c>
      <c r="L34">
        <v>-3.41</v>
      </c>
      <c r="M34">
        <v>0</v>
      </c>
      <c r="N34">
        <v>0</v>
      </c>
      <c r="O34">
        <v>0</v>
      </c>
      <c r="P34">
        <v>20.07</v>
      </c>
      <c r="Q34">
        <v>7181014354</v>
      </c>
      <c r="R34" s="2">
        <v>45975</v>
      </c>
      <c r="T34">
        <v>23.9</v>
      </c>
      <c r="U34">
        <f t="shared" si="0"/>
        <v>0</v>
      </c>
    </row>
    <row r="35" spans="1:21" x14ac:dyDescent="0.25">
      <c r="A35" s="2">
        <v>45973</v>
      </c>
      <c r="B35" t="s">
        <v>37</v>
      </c>
      <c r="C35" t="s">
        <v>104</v>
      </c>
      <c r="D35" t="s">
        <v>104</v>
      </c>
      <c r="E35" t="s">
        <v>105</v>
      </c>
      <c r="F35" t="s">
        <v>106</v>
      </c>
      <c r="G35">
        <v>1777885</v>
      </c>
      <c r="H35">
        <v>1452023</v>
      </c>
      <c r="I35">
        <v>99.56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84.92</v>
      </c>
      <c r="Q35">
        <v>7181014354</v>
      </c>
      <c r="R35" s="2">
        <v>45975</v>
      </c>
      <c r="T35">
        <v>0</v>
      </c>
      <c r="U35">
        <f t="shared" si="0"/>
        <v>0</v>
      </c>
    </row>
    <row r="36" spans="1:21" x14ac:dyDescent="0.25">
      <c r="A36" s="2">
        <v>45973</v>
      </c>
      <c r="B36" t="s">
        <v>37</v>
      </c>
      <c r="C36" t="s">
        <v>104</v>
      </c>
      <c r="D36" t="s">
        <v>104</v>
      </c>
      <c r="E36" t="s">
        <v>105</v>
      </c>
      <c r="F36" t="s">
        <v>106</v>
      </c>
      <c r="G36">
        <v>1777885</v>
      </c>
      <c r="H36">
        <v>1452023</v>
      </c>
      <c r="I36">
        <v>0</v>
      </c>
      <c r="J36">
        <v>17.96</v>
      </c>
      <c r="K36">
        <v>-0.42</v>
      </c>
      <c r="L36">
        <v>-2.57</v>
      </c>
      <c r="M36">
        <v>0</v>
      </c>
      <c r="N36">
        <v>0</v>
      </c>
      <c r="O36">
        <v>0</v>
      </c>
      <c r="P36">
        <v>0</v>
      </c>
      <c r="Q36">
        <v>7181014354</v>
      </c>
      <c r="R36" s="2">
        <v>45975</v>
      </c>
      <c r="T36">
        <v>17.96</v>
      </c>
      <c r="U36">
        <f t="shared" si="0"/>
        <v>0</v>
      </c>
    </row>
    <row r="37" spans="1:21" x14ac:dyDescent="0.25">
      <c r="A37" s="2">
        <v>45973</v>
      </c>
      <c r="B37" t="s">
        <v>37</v>
      </c>
      <c r="C37" t="s">
        <v>104</v>
      </c>
      <c r="D37" t="s">
        <v>104</v>
      </c>
      <c r="E37" t="s">
        <v>105</v>
      </c>
      <c r="F37" t="s">
        <v>106</v>
      </c>
      <c r="G37">
        <v>1777885</v>
      </c>
      <c r="H37">
        <v>1452023</v>
      </c>
      <c r="I37">
        <v>0</v>
      </c>
      <c r="J37">
        <v>81.599999999999994</v>
      </c>
      <c r="K37">
        <v>0</v>
      </c>
      <c r="L37">
        <v>-11.65</v>
      </c>
      <c r="M37">
        <v>0</v>
      </c>
      <c r="N37">
        <v>0</v>
      </c>
      <c r="O37">
        <v>0</v>
      </c>
      <c r="P37">
        <v>0</v>
      </c>
      <c r="Q37">
        <v>7181014354</v>
      </c>
      <c r="R37" s="2">
        <v>45975</v>
      </c>
      <c r="T37">
        <v>81.599999999999994</v>
      </c>
      <c r="U37">
        <f t="shared" si="0"/>
        <v>0</v>
      </c>
    </row>
    <row r="38" spans="1:21" x14ac:dyDescent="0.25">
      <c r="A38" s="2">
        <v>45973</v>
      </c>
      <c r="B38" t="s">
        <v>37</v>
      </c>
      <c r="C38" t="s">
        <v>107</v>
      </c>
      <c r="D38" t="s">
        <v>107</v>
      </c>
      <c r="E38" t="s">
        <v>108</v>
      </c>
      <c r="F38" t="s">
        <v>109</v>
      </c>
      <c r="G38">
        <v>1777926</v>
      </c>
      <c r="H38">
        <v>1451458</v>
      </c>
      <c r="I38">
        <v>6.08</v>
      </c>
      <c r="J38">
        <v>6.08</v>
      </c>
      <c r="K38">
        <v>-0.42</v>
      </c>
      <c r="L38">
        <v>-0.87</v>
      </c>
      <c r="M38">
        <v>0</v>
      </c>
      <c r="N38">
        <v>0</v>
      </c>
      <c r="O38">
        <v>0</v>
      </c>
      <c r="P38">
        <v>4.79</v>
      </c>
      <c r="Q38">
        <v>7181014354</v>
      </c>
      <c r="R38" s="2">
        <v>45975</v>
      </c>
      <c r="T38">
        <v>6.08</v>
      </c>
      <c r="U38">
        <f t="shared" si="0"/>
        <v>0</v>
      </c>
    </row>
    <row r="39" spans="1:21" x14ac:dyDescent="0.25">
      <c r="A39" s="2">
        <v>45973</v>
      </c>
      <c r="F39" t="s">
        <v>110</v>
      </c>
      <c r="G39" t="s">
        <v>111</v>
      </c>
      <c r="H39" t="s">
        <v>112</v>
      </c>
      <c r="I39">
        <f>J39</f>
        <v>-138.11999999999998</v>
      </c>
      <c r="J39">
        <f>SUM(K39:O39)</f>
        <v>-138.11999999999998</v>
      </c>
      <c r="K39">
        <f>SUM(K5:K38)</f>
        <v>-8.8199999999999985</v>
      </c>
      <c r="L39">
        <f>SUM(L5:L38)</f>
        <v>-129.29999999999998</v>
      </c>
      <c r="M39">
        <f>SUM(M5:M38)</f>
        <v>0</v>
      </c>
      <c r="N39">
        <f>SUM(N5:N38)</f>
        <v>0</v>
      </c>
      <c r="O39">
        <f>SUM(O5:O38)</f>
        <v>0</v>
      </c>
      <c r="P39">
        <v>0</v>
      </c>
      <c r="Q39">
        <v>7181014354</v>
      </c>
      <c r="R39" s="2">
        <v>45975</v>
      </c>
    </row>
    <row r="40" spans="1:21" x14ac:dyDescent="0.25">
      <c r="A40" s="2">
        <v>45975</v>
      </c>
      <c r="F40" t="s">
        <v>113</v>
      </c>
      <c r="G40" t="s">
        <v>111</v>
      </c>
      <c r="H40" t="s">
        <v>112</v>
      </c>
      <c r="I40">
        <f>J40</f>
        <v>-37.75</v>
      </c>
      <c r="J40">
        <v>-37.75</v>
      </c>
      <c r="P40">
        <v>-37.75</v>
      </c>
      <c r="Q40">
        <v>7181014354</v>
      </c>
      <c r="R40" s="2">
        <v>45975</v>
      </c>
    </row>
    <row r="41" spans="1:21" x14ac:dyDescent="0.25">
      <c r="J41">
        <f>SUM(J5:J40)</f>
        <v>748.22999999999979</v>
      </c>
      <c r="P41">
        <f>SUM(P5:P40)</f>
        <v>730.59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24"/>
  <sheetViews>
    <sheetView workbookViewId="0"/>
  </sheetViews>
  <sheetFormatPr baseColWidth="10" defaultColWidth="9.140625" defaultRowHeight="15" x14ac:dyDescent="0.25"/>
  <sheetData>
    <row r="1" spans="1:18" x14ac:dyDescent="0.25">
      <c r="A1" s="1">
        <v>45975</v>
      </c>
      <c r="B1" t="s">
        <v>114</v>
      </c>
      <c r="C1" t="s">
        <v>115</v>
      </c>
      <c r="D1" t="s">
        <v>115</v>
      </c>
      <c r="E1" t="s">
        <v>116</v>
      </c>
      <c r="F1" t="s">
        <v>117</v>
      </c>
      <c r="G1" t="s">
        <v>111</v>
      </c>
      <c r="H1" t="s">
        <v>112</v>
      </c>
      <c r="I1">
        <v>-2.4900000000000002</v>
      </c>
      <c r="J1">
        <v>-2.4900000000000002</v>
      </c>
      <c r="K1">
        <v>0</v>
      </c>
      <c r="L1">
        <v>0</v>
      </c>
      <c r="M1">
        <v>0</v>
      </c>
      <c r="N1">
        <v>0</v>
      </c>
      <c r="O1">
        <v>0</v>
      </c>
      <c r="P1">
        <v>-2.4900000000000002</v>
      </c>
      <c r="Q1">
        <v>7181014354</v>
      </c>
      <c r="R1" s="1">
        <v>45975</v>
      </c>
    </row>
    <row r="2" spans="1:18" x14ac:dyDescent="0.25">
      <c r="A2" s="1">
        <v>45975</v>
      </c>
      <c r="B2" t="s">
        <v>114</v>
      </c>
      <c r="C2" t="s">
        <v>118</v>
      </c>
      <c r="D2" t="s">
        <v>118</v>
      </c>
      <c r="E2" t="s">
        <v>119</v>
      </c>
      <c r="F2" t="s">
        <v>120</v>
      </c>
      <c r="G2" t="s">
        <v>111</v>
      </c>
      <c r="H2" t="s">
        <v>112</v>
      </c>
      <c r="I2">
        <v>-2.98</v>
      </c>
      <c r="J2">
        <v>-2.98</v>
      </c>
      <c r="K2">
        <v>0</v>
      </c>
      <c r="L2">
        <v>0</v>
      </c>
      <c r="M2">
        <v>0</v>
      </c>
      <c r="N2">
        <v>0</v>
      </c>
      <c r="O2">
        <v>0</v>
      </c>
      <c r="P2">
        <v>-2.98</v>
      </c>
      <c r="Q2">
        <v>7181014354</v>
      </c>
      <c r="R2" s="1">
        <v>45975</v>
      </c>
    </row>
    <row r="3" spans="1:18" x14ac:dyDescent="0.25">
      <c r="A3" s="1">
        <v>45974</v>
      </c>
      <c r="B3" t="s">
        <v>114</v>
      </c>
      <c r="C3" t="s">
        <v>121</v>
      </c>
      <c r="D3" t="s">
        <v>121</v>
      </c>
      <c r="E3" t="s">
        <v>122</v>
      </c>
      <c r="F3" t="s">
        <v>123</v>
      </c>
      <c r="G3" t="s">
        <v>111</v>
      </c>
      <c r="H3" t="s">
        <v>112</v>
      </c>
      <c r="I3">
        <v>-1.55</v>
      </c>
      <c r="J3">
        <v>-1.55</v>
      </c>
      <c r="K3">
        <v>0</v>
      </c>
      <c r="L3">
        <v>0</v>
      </c>
      <c r="M3">
        <v>0</v>
      </c>
      <c r="N3">
        <v>0</v>
      </c>
      <c r="O3">
        <v>0</v>
      </c>
      <c r="P3">
        <v>-1.55</v>
      </c>
      <c r="Q3">
        <v>7181014354</v>
      </c>
      <c r="R3" s="1">
        <v>45975</v>
      </c>
    </row>
    <row r="4" spans="1:18" x14ac:dyDescent="0.25">
      <c r="A4" s="1">
        <v>45974</v>
      </c>
      <c r="B4" t="s">
        <v>114</v>
      </c>
      <c r="C4" t="s">
        <v>124</v>
      </c>
      <c r="D4" t="s">
        <v>124</v>
      </c>
      <c r="E4" t="s">
        <v>125</v>
      </c>
      <c r="F4" t="s">
        <v>126</v>
      </c>
      <c r="G4" t="s">
        <v>111</v>
      </c>
      <c r="H4" t="s">
        <v>112</v>
      </c>
      <c r="I4">
        <v>-0.83</v>
      </c>
      <c r="J4">
        <v>-0.83</v>
      </c>
      <c r="K4">
        <v>0</v>
      </c>
      <c r="L4">
        <v>0</v>
      </c>
      <c r="M4">
        <v>0</v>
      </c>
      <c r="N4">
        <v>0</v>
      </c>
      <c r="O4">
        <v>0</v>
      </c>
      <c r="P4">
        <v>-0.83</v>
      </c>
      <c r="Q4">
        <v>7181014354</v>
      </c>
      <c r="R4" s="1">
        <v>45975</v>
      </c>
    </row>
    <row r="5" spans="1:18" x14ac:dyDescent="0.25">
      <c r="A5" s="1">
        <v>45974</v>
      </c>
      <c r="B5" t="s">
        <v>114</v>
      </c>
      <c r="C5" t="s">
        <v>127</v>
      </c>
      <c r="D5" t="s">
        <v>127</v>
      </c>
      <c r="E5" t="s">
        <v>128</v>
      </c>
      <c r="F5" t="s">
        <v>129</v>
      </c>
      <c r="G5" t="s">
        <v>111</v>
      </c>
      <c r="H5" t="s">
        <v>112</v>
      </c>
      <c r="I5">
        <v>-7.08</v>
      </c>
      <c r="J5">
        <v>-7.08</v>
      </c>
      <c r="K5">
        <v>0</v>
      </c>
      <c r="L5">
        <v>0</v>
      </c>
      <c r="M5">
        <v>0</v>
      </c>
      <c r="N5">
        <v>0</v>
      </c>
      <c r="O5">
        <v>0</v>
      </c>
      <c r="P5">
        <v>-7.08</v>
      </c>
      <c r="Q5">
        <v>7181014354</v>
      </c>
      <c r="R5" s="1">
        <v>45975</v>
      </c>
    </row>
    <row r="6" spans="1:18" x14ac:dyDescent="0.25">
      <c r="A6" s="1">
        <v>45974</v>
      </c>
      <c r="B6" t="s">
        <v>114</v>
      </c>
      <c r="C6" t="s">
        <v>130</v>
      </c>
      <c r="D6" t="s">
        <v>130</v>
      </c>
      <c r="E6" t="s">
        <v>131</v>
      </c>
      <c r="F6" t="s">
        <v>132</v>
      </c>
      <c r="G6" t="s">
        <v>111</v>
      </c>
      <c r="H6" t="s">
        <v>112</v>
      </c>
      <c r="I6">
        <v>-2.08</v>
      </c>
      <c r="J6">
        <v>-2.08</v>
      </c>
      <c r="K6">
        <v>0</v>
      </c>
      <c r="L6">
        <v>0</v>
      </c>
      <c r="M6">
        <v>0</v>
      </c>
      <c r="N6">
        <v>0</v>
      </c>
      <c r="O6">
        <v>0</v>
      </c>
      <c r="P6">
        <v>-2.08</v>
      </c>
      <c r="Q6">
        <v>7181014354</v>
      </c>
      <c r="R6" s="1">
        <v>45975</v>
      </c>
    </row>
    <row r="7" spans="1:18" x14ac:dyDescent="0.25">
      <c r="A7" s="1">
        <v>45974</v>
      </c>
      <c r="B7" t="s">
        <v>114</v>
      </c>
      <c r="C7" t="s">
        <v>133</v>
      </c>
      <c r="D7" t="s">
        <v>133</v>
      </c>
      <c r="E7" t="s">
        <v>134</v>
      </c>
      <c r="F7" t="s">
        <v>135</v>
      </c>
      <c r="G7" t="s">
        <v>111</v>
      </c>
      <c r="H7" t="s">
        <v>112</v>
      </c>
      <c r="I7">
        <v>-2.08</v>
      </c>
      <c r="J7">
        <v>-2.08</v>
      </c>
      <c r="K7">
        <v>0</v>
      </c>
      <c r="L7">
        <v>0</v>
      </c>
      <c r="M7">
        <v>0</v>
      </c>
      <c r="N7">
        <v>0</v>
      </c>
      <c r="O7">
        <v>0</v>
      </c>
      <c r="P7">
        <v>-2.08</v>
      </c>
      <c r="Q7">
        <v>7181014354</v>
      </c>
      <c r="R7" s="1">
        <v>45975</v>
      </c>
    </row>
    <row r="8" spans="1:18" x14ac:dyDescent="0.25">
      <c r="A8" s="1">
        <v>45974</v>
      </c>
      <c r="B8" t="s">
        <v>114</v>
      </c>
      <c r="C8" t="s">
        <v>136</v>
      </c>
      <c r="D8" t="s">
        <v>136</v>
      </c>
      <c r="E8" t="s">
        <v>137</v>
      </c>
      <c r="F8" t="s">
        <v>138</v>
      </c>
      <c r="G8" t="s">
        <v>111</v>
      </c>
      <c r="H8" t="s">
        <v>112</v>
      </c>
      <c r="I8">
        <v>-1.01</v>
      </c>
      <c r="J8">
        <v>-1.01</v>
      </c>
      <c r="K8">
        <v>0</v>
      </c>
      <c r="L8">
        <v>0</v>
      </c>
      <c r="M8">
        <v>0</v>
      </c>
      <c r="N8">
        <v>0</v>
      </c>
      <c r="O8">
        <v>0</v>
      </c>
      <c r="P8">
        <v>-1.01</v>
      </c>
      <c r="Q8">
        <v>7181014354</v>
      </c>
      <c r="R8" s="1">
        <v>45975</v>
      </c>
    </row>
    <row r="9" spans="1:18" x14ac:dyDescent="0.25">
      <c r="A9" s="1">
        <v>45974</v>
      </c>
      <c r="B9" t="s">
        <v>114</v>
      </c>
      <c r="C9" t="s">
        <v>92</v>
      </c>
      <c r="D9" t="s">
        <v>92</v>
      </c>
      <c r="E9" t="s">
        <v>93</v>
      </c>
      <c r="F9" t="s">
        <v>94</v>
      </c>
      <c r="G9" t="s">
        <v>111</v>
      </c>
      <c r="H9" t="s">
        <v>112</v>
      </c>
      <c r="I9">
        <v>-2.98</v>
      </c>
      <c r="J9">
        <v>-2.98</v>
      </c>
      <c r="K9">
        <v>0</v>
      </c>
      <c r="L9">
        <v>0</v>
      </c>
      <c r="M9">
        <v>0</v>
      </c>
      <c r="N9">
        <v>0</v>
      </c>
      <c r="O9">
        <v>0</v>
      </c>
      <c r="P9">
        <v>-2.98</v>
      </c>
      <c r="Q9">
        <v>7181014354</v>
      </c>
      <c r="R9" s="1">
        <v>45975</v>
      </c>
    </row>
    <row r="10" spans="1:18" x14ac:dyDescent="0.25">
      <c r="A10" s="1">
        <v>45974</v>
      </c>
      <c r="B10" t="s">
        <v>114</v>
      </c>
      <c r="C10" t="s">
        <v>139</v>
      </c>
      <c r="D10" t="s">
        <v>139</v>
      </c>
      <c r="E10" t="s">
        <v>140</v>
      </c>
      <c r="F10" t="s">
        <v>141</v>
      </c>
      <c r="G10" t="s">
        <v>111</v>
      </c>
      <c r="H10" t="s">
        <v>112</v>
      </c>
      <c r="I10">
        <v>-0.83</v>
      </c>
      <c r="J10">
        <v>-0.83</v>
      </c>
      <c r="K10">
        <v>0</v>
      </c>
      <c r="L10">
        <v>0</v>
      </c>
      <c r="M10">
        <v>0</v>
      </c>
      <c r="N10">
        <v>0</v>
      </c>
      <c r="O10">
        <v>0</v>
      </c>
      <c r="P10">
        <v>-0.83</v>
      </c>
      <c r="Q10">
        <v>7181014354</v>
      </c>
      <c r="R10" s="1">
        <v>45975</v>
      </c>
    </row>
    <row r="11" spans="1:18" x14ac:dyDescent="0.25">
      <c r="A11" s="1">
        <v>45974</v>
      </c>
      <c r="B11" t="s">
        <v>114</v>
      </c>
      <c r="C11" t="s">
        <v>142</v>
      </c>
      <c r="D11" t="s">
        <v>142</v>
      </c>
      <c r="E11" t="s">
        <v>143</v>
      </c>
      <c r="F11" t="s">
        <v>144</v>
      </c>
      <c r="G11" t="s">
        <v>111</v>
      </c>
      <c r="H11" t="s">
        <v>112</v>
      </c>
      <c r="I11">
        <v>-1.68</v>
      </c>
      <c r="J11">
        <v>-1.68</v>
      </c>
      <c r="K11">
        <v>0</v>
      </c>
      <c r="L11">
        <v>0</v>
      </c>
      <c r="M11">
        <v>0</v>
      </c>
      <c r="N11">
        <v>0</v>
      </c>
      <c r="O11">
        <v>0</v>
      </c>
      <c r="P11">
        <v>-1.68</v>
      </c>
      <c r="Q11">
        <v>7181014354</v>
      </c>
      <c r="R11" s="1">
        <v>45975</v>
      </c>
    </row>
    <row r="12" spans="1:18" x14ac:dyDescent="0.25">
      <c r="A12" s="1">
        <v>45974</v>
      </c>
      <c r="B12" t="s">
        <v>114</v>
      </c>
      <c r="C12" t="s">
        <v>145</v>
      </c>
      <c r="D12" t="s">
        <v>145</v>
      </c>
      <c r="E12" t="s">
        <v>146</v>
      </c>
      <c r="F12" t="s">
        <v>147</v>
      </c>
      <c r="G12" t="s">
        <v>111</v>
      </c>
      <c r="H12" t="s">
        <v>112</v>
      </c>
      <c r="I12">
        <v>-2.2599999999999998</v>
      </c>
      <c r="J12">
        <v>-2.2599999999999998</v>
      </c>
      <c r="K12">
        <v>0</v>
      </c>
      <c r="L12">
        <v>0</v>
      </c>
      <c r="M12">
        <v>0</v>
      </c>
      <c r="N12">
        <v>0</v>
      </c>
      <c r="O12">
        <v>0</v>
      </c>
      <c r="P12">
        <v>-2.2599999999999998</v>
      </c>
      <c r="Q12">
        <v>7181014354</v>
      </c>
      <c r="R12" s="1">
        <v>45975</v>
      </c>
    </row>
    <row r="13" spans="1:18" x14ac:dyDescent="0.25">
      <c r="A13" s="1">
        <v>45974</v>
      </c>
      <c r="B13" t="s">
        <v>114</v>
      </c>
      <c r="C13" t="s">
        <v>148</v>
      </c>
      <c r="D13" t="s">
        <v>148</v>
      </c>
      <c r="E13" t="s">
        <v>149</v>
      </c>
      <c r="F13" t="s">
        <v>150</v>
      </c>
      <c r="G13" t="s">
        <v>111</v>
      </c>
      <c r="H13" t="s">
        <v>112</v>
      </c>
      <c r="I13">
        <v>-1.19</v>
      </c>
      <c r="J13">
        <v>-1.19</v>
      </c>
      <c r="K13">
        <v>0</v>
      </c>
      <c r="L13">
        <v>0</v>
      </c>
      <c r="M13">
        <v>0</v>
      </c>
      <c r="N13">
        <v>0</v>
      </c>
      <c r="O13">
        <v>0</v>
      </c>
      <c r="P13">
        <v>-1.19</v>
      </c>
      <c r="Q13">
        <v>7181014354</v>
      </c>
      <c r="R13" s="1">
        <v>45975</v>
      </c>
    </row>
    <row r="14" spans="1:18" x14ac:dyDescent="0.25">
      <c r="A14" s="1">
        <v>45974</v>
      </c>
      <c r="B14" t="s">
        <v>114</v>
      </c>
      <c r="C14" t="s">
        <v>151</v>
      </c>
      <c r="D14" t="s">
        <v>151</v>
      </c>
      <c r="E14" t="s">
        <v>152</v>
      </c>
      <c r="F14" t="s">
        <v>153</v>
      </c>
      <c r="G14" t="s">
        <v>111</v>
      </c>
      <c r="H14" t="s">
        <v>112</v>
      </c>
      <c r="I14">
        <v>-1.01</v>
      </c>
      <c r="J14">
        <v>-1.01</v>
      </c>
      <c r="K14">
        <v>0</v>
      </c>
      <c r="L14">
        <v>0</v>
      </c>
      <c r="M14">
        <v>0</v>
      </c>
      <c r="N14">
        <v>0</v>
      </c>
      <c r="O14">
        <v>0</v>
      </c>
      <c r="P14">
        <v>-1.01</v>
      </c>
      <c r="Q14">
        <v>7181014354</v>
      </c>
      <c r="R14" s="1">
        <v>45975</v>
      </c>
    </row>
    <row r="15" spans="1:18" x14ac:dyDescent="0.25">
      <c r="A15" s="1">
        <v>45974</v>
      </c>
      <c r="B15" t="s">
        <v>114</v>
      </c>
      <c r="C15" t="s">
        <v>154</v>
      </c>
      <c r="D15" t="s">
        <v>154</v>
      </c>
      <c r="E15" t="s">
        <v>155</v>
      </c>
      <c r="F15" t="s">
        <v>156</v>
      </c>
      <c r="G15" t="s">
        <v>111</v>
      </c>
      <c r="H15" t="s">
        <v>112</v>
      </c>
      <c r="I15">
        <v>-2.08</v>
      </c>
      <c r="J15">
        <v>-2.08</v>
      </c>
      <c r="K15">
        <v>0</v>
      </c>
      <c r="L15">
        <v>0</v>
      </c>
      <c r="M15">
        <v>0</v>
      </c>
      <c r="N15">
        <v>0</v>
      </c>
      <c r="O15">
        <v>0</v>
      </c>
      <c r="P15">
        <v>-2.08</v>
      </c>
      <c r="Q15">
        <v>7181014354</v>
      </c>
      <c r="R15" s="1">
        <v>45975</v>
      </c>
    </row>
    <row r="16" spans="1:18" x14ac:dyDescent="0.25">
      <c r="A16" s="1">
        <v>45974</v>
      </c>
      <c r="B16" t="s">
        <v>114</v>
      </c>
      <c r="C16" t="s">
        <v>157</v>
      </c>
      <c r="D16" t="s">
        <v>157</v>
      </c>
      <c r="E16" t="s">
        <v>158</v>
      </c>
      <c r="F16" t="s">
        <v>159</v>
      </c>
      <c r="G16" t="s">
        <v>111</v>
      </c>
      <c r="H16" t="s">
        <v>112</v>
      </c>
      <c r="I16">
        <v>-2.3199999999999998</v>
      </c>
      <c r="J16">
        <v>-2.3199999999999998</v>
      </c>
      <c r="K16">
        <v>0</v>
      </c>
      <c r="L16">
        <v>0</v>
      </c>
      <c r="M16">
        <v>0</v>
      </c>
      <c r="N16">
        <v>0</v>
      </c>
      <c r="O16">
        <v>0</v>
      </c>
      <c r="P16">
        <v>-2.3199999999999998</v>
      </c>
      <c r="Q16">
        <v>7181014354</v>
      </c>
      <c r="R16" s="1">
        <v>45975</v>
      </c>
    </row>
    <row r="17" spans="1:18" x14ac:dyDescent="0.25">
      <c r="A17" s="1">
        <v>45974</v>
      </c>
      <c r="B17" t="s">
        <v>114</v>
      </c>
      <c r="C17" t="s">
        <v>160</v>
      </c>
      <c r="D17" t="s">
        <v>160</v>
      </c>
      <c r="E17" t="s">
        <v>161</v>
      </c>
      <c r="F17" t="s">
        <v>162</v>
      </c>
      <c r="G17" t="s">
        <v>111</v>
      </c>
      <c r="H17" t="s">
        <v>112</v>
      </c>
      <c r="I17">
        <v>-1.61</v>
      </c>
      <c r="J17">
        <v>-1.61</v>
      </c>
      <c r="K17">
        <v>0</v>
      </c>
      <c r="L17">
        <v>0</v>
      </c>
      <c r="M17">
        <v>0</v>
      </c>
      <c r="N17">
        <v>0</v>
      </c>
      <c r="O17">
        <v>0</v>
      </c>
      <c r="P17">
        <v>-1.61</v>
      </c>
      <c r="Q17">
        <v>7181014354</v>
      </c>
      <c r="R17" s="1">
        <v>45975</v>
      </c>
    </row>
    <row r="18" spans="1:18" x14ac:dyDescent="0.25">
      <c r="A18" s="1">
        <v>45974</v>
      </c>
      <c r="B18" t="s">
        <v>114</v>
      </c>
      <c r="C18" t="s">
        <v>163</v>
      </c>
      <c r="D18" t="s">
        <v>163</v>
      </c>
      <c r="E18" t="s">
        <v>164</v>
      </c>
      <c r="F18" t="s">
        <v>165</v>
      </c>
      <c r="G18" t="s">
        <v>111</v>
      </c>
      <c r="H18" t="s">
        <v>112</v>
      </c>
      <c r="I18">
        <v>-3.57</v>
      </c>
      <c r="J18">
        <v>-3.57</v>
      </c>
      <c r="K18">
        <v>0</v>
      </c>
      <c r="L18">
        <v>0</v>
      </c>
      <c r="M18">
        <v>0</v>
      </c>
      <c r="N18">
        <v>0</v>
      </c>
      <c r="O18">
        <v>0</v>
      </c>
      <c r="P18">
        <v>-3.57</v>
      </c>
      <c r="Q18">
        <v>7181014354</v>
      </c>
      <c r="R18" s="1">
        <v>45975</v>
      </c>
    </row>
    <row r="19" spans="1:18" x14ac:dyDescent="0.25">
      <c r="A19" s="1">
        <v>45974</v>
      </c>
      <c r="B19" t="s">
        <v>114</v>
      </c>
      <c r="C19" t="s">
        <v>28</v>
      </c>
      <c r="D19" t="s">
        <v>28</v>
      </c>
      <c r="E19" t="s">
        <v>29</v>
      </c>
      <c r="F19" t="s">
        <v>30</v>
      </c>
      <c r="G19" t="s">
        <v>111</v>
      </c>
      <c r="H19" t="s">
        <v>112</v>
      </c>
      <c r="I19">
        <v>1.05</v>
      </c>
      <c r="J19">
        <v>1.05</v>
      </c>
      <c r="K19">
        <v>0</v>
      </c>
      <c r="L19">
        <v>0</v>
      </c>
      <c r="M19">
        <v>0</v>
      </c>
      <c r="N19">
        <v>0</v>
      </c>
      <c r="O19">
        <v>0</v>
      </c>
      <c r="P19">
        <v>1.05</v>
      </c>
      <c r="Q19">
        <v>7181014354</v>
      </c>
      <c r="R19" s="1">
        <v>45975</v>
      </c>
    </row>
    <row r="20" spans="1:18" x14ac:dyDescent="0.25">
      <c r="A20" s="1">
        <v>45974</v>
      </c>
      <c r="B20" t="s">
        <v>114</v>
      </c>
      <c r="C20" t="s">
        <v>31</v>
      </c>
      <c r="D20" t="s">
        <v>31</v>
      </c>
      <c r="E20" t="s">
        <v>32</v>
      </c>
      <c r="F20" t="s">
        <v>33</v>
      </c>
      <c r="G20" t="s">
        <v>111</v>
      </c>
      <c r="H20" t="s">
        <v>112</v>
      </c>
      <c r="I20">
        <v>1.19</v>
      </c>
      <c r="J20">
        <v>1.19</v>
      </c>
      <c r="K20">
        <v>0</v>
      </c>
      <c r="L20">
        <v>0</v>
      </c>
      <c r="M20">
        <v>0</v>
      </c>
      <c r="N20">
        <v>0</v>
      </c>
      <c r="O20">
        <v>0</v>
      </c>
      <c r="P20">
        <v>1.19</v>
      </c>
      <c r="Q20">
        <v>7181014354</v>
      </c>
      <c r="R20" s="1">
        <v>45975</v>
      </c>
    </row>
    <row r="21" spans="1:18" x14ac:dyDescent="0.25">
      <c r="A21" s="1">
        <v>45974</v>
      </c>
      <c r="B21" t="s">
        <v>114</v>
      </c>
      <c r="C21" t="s">
        <v>34</v>
      </c>
      <c r="D21" t="s">
        <v>34</v>
      </c>
      <c r="E21" t="s">
        <v>35</v>
      </c>
      <c r="F21" t="s">
        <v>36</v>
      </c>
      <c r="G21" t="s">
        <v>111</v>
      </c>
      <c r="H21" t="s">
        <v>112</v>
      </c>
      <c r="I21">
        <v>1.19</v>
      </c>
      <c r="J21">
        <v>1.19</v>
      </c>
      <c r="K21">
        <v>0</v>
      </c>
      <c r="L21">
        <v>0</v>
      </c>
      <c r="M21">
        <v>0</v>
      </c>
      <c r="N21">
        <v>0</v>
      </c>
      <c r="O21">
        <v>0</v>
      </c>
      <c r="P21">
        <v>1.19</v>
      </c>
      <c r="Q21">
        <v>7181014354</v>
      </c>
      <c r="R21" s="1">
        <v>45975</v>
      </c>
    </row>
    <row r="22" spans="1:18" x14ac:dyDescent="0.25">
      <c r="A22" s="1">
        <v>45974</v>
      </c>
      <c r="B22" t="s">
        <v>114</v>
      </c>
      <c r="C22" t="s">
        <v>166</v>
      </c>
      <c r="D22" t="s">
        <v>166</v>
      </c>
      <c r="E22" t="s">
        <v>167</v>
      </c>
      <c r="F22" t="s">
        <v>168</v>
      </c>
      <c r="G22" t="s">
        <v>111</v>
      </c>
      <c r="H22" t="s">
        <v>112</v>
      </c>
      <c r="I22">
        <v>-1.55</v>
      </c>
      <c r="J22">
        <v>-1.55</v>
      </c>
      <c r="K22">
        <v>0</v>
      </c>
      <c r="L22">
        <v>0</v>
      </c>
      <c r="M22">
        <v>0</v>
      </c>
      <c r="N22">
        <v>0</v>
      </c>
      <c r="O22">
        <v>0</v>
      </c>
      <c r="P22">
        <v>-1.55</v>
      </c>
      <c r="Q22">
        <v>7181014354</v>
      </c>
      <c r="R22" s="1">
        <v>45975</v>
      </c>
    </row>
    <row r="24" spans="1:18" x14ac:dyDescent="0.25">
      <c r="J24">
        <f>SUM(J1:J23)</f>
        <v>-37.75</v>
      </c>
      <c r="P24">
        <f>SUM(P1:P23)</f>
        <v>-37.75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Payout_7181014354_20251215</vt:lpstr>
      <vt:lpstr>Tabelle1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Maxi Tenschert</cp:lastModifiedBy>
  <dcterms:created xsi:type="dcterms:W3CDTF">2025-12-15T13:07:47Z</dcterms:created>
  <dcterms:modified xsi:type="dcterms:W3CDTF">2025-12-15T14:17:48Z</dcterms:modified>
</cp:coreProperties>
</file>